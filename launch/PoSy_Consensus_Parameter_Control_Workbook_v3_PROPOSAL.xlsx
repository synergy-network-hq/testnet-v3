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32f25c51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Summary" sheetId="1" r:id="R69432832c8944fa7"/>
    <x:sheet xmlns:r="http://schemas.openxmlformats.org/officeDocument/2006/relationships" name="Validator Weights" sheetId="2" r:id="Rbcdfb76a721648ed"/>
    <x:sheet xmlns:r="http://schemas.openxmlformats.org/officeDocument/2006/relationships" name="Parameter Register" sheetId="3" r:id="Rc71fb7aa8b604b0f"/>
    <x:sheet xmlns:r="http://schemas.openxmlformats.org/officeDocument/2006/relationships" name="Activation Checklist" sheetId="4" r:id="Raeec1174fb28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sz val="10"/>
      <x:color rgb="FF243B53"/>
      <x:name val="Carlito"/>
    </x:font>
    <x:font>
      <x:b/>
      <x:sz val="10"/>
      <x:color rgb="FF243B53"/>
      <x:name val="Carlito"/>
    </x:font>
    <x:font>
      <x:b/>
      <x:sz val="10"/>
      <x:color rgb="FFFFFFFF"/>
      <x:name val="Carlito"/>
    </x:font>
    <x:font>
      <x:sz val="11"/>
      <x:color rgb="FF243B5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147D7E"/>
      </x:patternFill>
    </x:fill>
    <x:fill>
      <x:patternFill patternType="solid">
        <x:fgColor rgb="FFFFF3CD"/>
      </x:patternFill>
    </x:fill>
    <x:fill>
      <x:patternFill patternType="solid">
        <x:fgColor rgb="FFFFF2CC"/>
      </x:patternFill>
    </x:fill>
    <x:fill>
      <x:patternFill patternType="solid">
        <x:fgColor rgb="FF102A43"/>
      </x:patternFill>
    </x:fill>
    <x:fill>
      <x:patternFill patternType="solid">
        <x:fgColor rgb="FFFFF2CC"/>
      </x:patternFill>
    </x:fill>
    <x:fill>
      <x:patternFill patternType="solid">
        <x:fgColor rgb="FF102A4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02A43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d610ce3bd47e3" /><Relationship Type="http://schemas.openxmlformats.org/officeDocument/2006/relationships/theme" Target="/xl/theme/theme1.xml" Id="R1a337a63f90e41c1" /><Relationship Type="http://schemas.microsoft.com/office/2022/11/relationships/FeaturePropertyBag" Target="/xl/featurePropertyBag/featurePropertyBag.xml" Id="Rf0f3ce5d021f4399" /><Relationship Type="http://schemas.openxmlformats.org/officeDocument/2006/relationships/sharedStrings" Target="/xl/sharedStrings.xml" Id="R1ab74dbe7fd94174" /><Relationship Type="http://schemas.openxmlformats.org/officeDocument/2006/relationships/worksheet" Target="/xl/worksheets/sheet1.xml" Id="R69432832c8944fa7" /><Relationship Type="http://schemas.openxmlformats.org/officeDocument/2006/relationships/worksheet" Target="/xl/worksheets/sheet2.xml" Id="Rbcdfb76a721648ed" /><Relationship Type="http://schemas.openxmlformats.org/officeDocument/2006/relationships/worksheet" Target="/xl/worksheets/sheet3.xml" Id="Rc71fb7aa8b604b0f" /><Relationship Type="http://schemas.openxmlformats.org/officeDocument/2006/relationships/worksheet" Target="/xl/worksheets/sheet4.xml" Id="Raeec1174fb2842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7" hidden="0" customWidth="1"/>
    <x:col min="4" max="4" width="1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1.600000381469727" hidden="0" customHeight="1">
      <x:c r="A1" s="27" t="str">
        <x:v>PoSy v3 Simplified Consensus Control Summary</x:v>
      </x:c>
      <x:c r="B1" s="27"/>
      <x:c r="C1" s="27"/>
      <x:c r="D1" s="27"/>
      <x:c r="E1" s="27"/>
      <x:c r="F1" s="27"/>
      <x:c r="G1" s="27"/>
      <x:c r="H1" s="27"/>
    </x:row>
    <x:row r="2" ht="24" hidden="0" customHeight="1">
      <x:c r="A2" s="28" t="str">
        <x:v>PROPOSAL ONLY — fresh block-zero Chain 1266 / Testnet-v3 PoSy source. Not governance-approved, release-authorized, activated, or launch-qualified.</x:v>
      </x:c>
      <x:c r="B2" s="28"/>
      <x:c r="C2" s="28"/>
      <x:c r="D2" s="28"/>
      <x:c r="E2" s="28"/>
      <x:c r="F2" s="28"/>
      <x:c r="G2" s="28"/>
      <x:c r="H2" s="28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 ht="26.399999618530273" hidden="0" customHeight="1">
      <x:c r="A4" s="30" t="str">
        <x:v>Control</x:v>
      </x:c>
      <x:c r="B4" s="30" t="str">
        <x:v>Proposed Value</x:v>
      </x:c>
      <x:c r="C4" s="30" t="str">
        <x:v>Derived / Evidence</x:v>
      </x:c>
      <x:c r="D4" s="30" t="str">
        <x:v>Status</x:v>
      </x:c>
      <x:c r="E4" s="30" t="str">
        <x:v>Activation Input</x:v>
      </x:c>
      <x:c r="F4" s="30" t="str">
        <x:v>Owner</x:v>
      </x:c>
      <x:c r="G4" s="30" t="str">
        <x:v>Source</x:v>
      </x:c>
      <x:c r="H4" s="30" t="str">
        <x:v>Notes</x:v>
      </x:c>
    </x:row>
    <x:row r="5" ht="48" hidden="0" customHeight="1">
      <x:c r="A5" s="14" t="str">
        <x:v>Protocol profile</x:v>
      </x:c>
      <x:c r="B5" s="14" t="str">
        <x:v>posy/3.0</x:v>
      </x:c>
      <x:c r="C5" s="14" t="str">
        <x:v>Schema 4; SHA3-512 root in register</x:v>
      </x:c>
      <x:c r="D5" s="16" t="str">
        <x:v>PROPOSED</x:v>
      </x:c>
      <x:c r="E5" s="14" t="str">
        <x:v>Governance approval</x:v>
      </x:c>
      <x:c r="F5" s="14" t="str">
        <x:v>Protocol Governance</x:v>
      </x:c>
      <x:c r="G5" s="14" t="str">
        <x:v>Parameter Register</x:v>
      </x:c>
      <x:c r="H5" s="14" t="str">
        <x:v>Retired-chain artifacts are rejected as P3 inputs</x:v>
      </x:c>
    </x:row>
    <x:row r="6" ht="60" hidden="0" customHeight="1">
      <x:c r="A6" s="14" t="str">
        <x:v>Healthy path</x:v>
      </x:c>
      <x:c r="B6" s="14" t="str">
        <x:v>PROPOSAL → VOTE → QC</x:v>
      </x:c>
      <x:c r="C6" s="14" t="str">
        <x:v>1 ordinary vote / 1 ordinary QC</x:v>
      </x:c>
      <x:c r="D6" s="16" t="str">
        <x:v>PROPOSED</x:v>
      </x:c>
      <x:c r="E6" s="14" t="str">
        <x:v>Fresh Genesis epoch 0 / height 1</x:v>
      </x:c>
      <x:c r="F6" s="14" t="str">
        <x:v>Consensus Engineering</x:v>
      </x:c>
      <x:c r="G6" s="14" t="str">
        <x:v>POSY-00E</x:v>
      </x:c>
      <x:c r="H6" s="14" t="str">
        <x:v>VC and FINALITY are historical only</x:v>
      </x:c>
    </x:row>
    <x:row r="7" ht="48" hidden="0" customHeight="1">
      <x:c r="A7" s="14" t="str">
        <x:v>Commit rule</x:v>
      </x:c>
      <x:c r="B7" s="14" t="str">
        <x:v>3 certified blocks</x:v>
      </x:c>
      <x:c r="C7" s="14" t="str">
        <x:v>B0 ← B1 ← B2 commits B0</x:v>
      </x:c>
      <x:c r="D7" s="16" t="str">
        <x:v>PROPOSED</x:v>
      </x:c>
      <x:c r="E7" s="14" t="str">
        <x:v>Formal/model evidence</x:v>
      </x:c>
      <x:c r="F7" s="14" t="str">
        <x:v>Formal Methods</x:v>
      </x:c>
      <x:c r="G7" s="14" t="str">
        <x:v>POSY-00E</x:v>
      </x:c>
      <x:c r="H7" s="14" t="str">
        <x:v>TC never commits or unlocks alone</x:v>
      </x:c>
    </x:row>
    <x:row r="8" ht="48" hidden="0" customHeight="1">
      <x:c r="A8" s="14" t="str">
        <x:v>Initial epoch validators</x:v>
      </x:c>
      <x:c r="B8" s="14" t="n">
        <x:v>5</x:v>
      </x:c>
      <x:c r="C8" s="14" t="n">
        <x:f>COUNTA('Validator Weights'!A6:A10)</x:f>
        <x:v>5</x:v>
      </x:c>
      <x:c r="D8" s="16" t="str">
        <x:v>PROPOSED</x:v>
      </x:c>
      <x:c r="E8" s="14" t="str">
        <x:v>Five approved initial identities</x:v>
      </x:c>
      <x:c r="F8" s="14" t="str">
        <x:v>Validator Operations</x:v>
      </x:c>
      <x:c r="G8" s="14" t="str">
        <x:v>Validator Weights</x:v>
      </x:c>
      <x:c r="H8" s="14" t="str">
        <x:v>First epoch only; later finalized sets are dynamic</x:v>
      </x:c>
    </x:row>
    <x:row r="9" ht="36" hidden="0" customHeight="1">
      <x:c r="A9" s="14" t="str">
        <x:v>Derived signer quorum</x:v>
      </x:c>
      <x:c r="B9" s="14" t="str">
        <x:v>floor(2*N/3)+1</x:v>
      </x:c>
      <x:c r="C9" s="14" t="n">
        <x:f>'Validator Weights'!C13</x:f>
        <x:v>4</x:v>
      </x:c>
      <x:c r="D9" s="16" t="str">
        <x:v>PROPOSED</x:v>
      </x:c>
      <x:c r="E9" s="14" t="str">
        <x:v>Canonical active-set root</x:v>
      </x:c>
      <x:c r="F9" s="14" t="str">
        <x:v>Consensus Engineering</x:v>
      </x:c>
      <x:c r="G9" s="14" t="str">
        <x:v>Validator Weights</x:v>
      </x:c>
      <x:c r="H9" s="14" t="str">
        <x:v>Recomputed from each frozen epoch set</x:v>
      </x:c>
    </x:row>
    <x:row r="10" ht="48" hidden="0" customHeight="1">
      <x:c r="A10" s="14" t="str">
        <x:v>Weight quorum</x:v>
      </x:c>
      <x:c r="B10" s="14" t="str">
        <x:v>3*signed_weight &gt; 2*total</x:v>
      </x:c>
      <x:c r="C10" s="14" t="str">
        <x:v>Exact checked integer arithmetic</x:v>
      </x:c>
      <x:c r="D10" s="16" t="str">
        <x:v>PROPOSED</x:v>
      </x:c>
      <x:c r="E10" s="14" t="str">
        <x:v>Frozen weight root</x:v>
      </x:c>
      <x:c r="F10" s="14" t="str">
        <x:v>Protocol Governance</x:v>
      </x:c>
      <x:c r="G10" s="14" t="str">
        <x:v>Parameter Register</x:v>
      </x:c>
      <x:c r="H10" s="14" t="str">
        <x:v>Independent of count quorum</x:v>
      </x:c>
    </x:row>
    <x:row r="11" ht="48" hidden="0" customHeight="1">
      <x:c r="A11" s="14" t="str">
        <x:v>Single-failure liveness</x:v>
      </x:c>
      <x:c r="B11" s="14"/>
      <x:c r="C11" s="14" t="str">
        <x:f>'Validator Weights'!C15</x:f>
        <x:v>MODEL PASS</x:v>
      </x:c>
      <x:c r="D11" s="16" t="str">
        <x:v>OPEN</x:v>
      </x:c>
      <x:c r="E11" s="14" t="str">
        <x:v>All initial weight rows</x:v>
      </x:c>
      <x:c r="F11" s="14" t="str">
        <x:v>Protocol Governance</x:v>
      </x:c>
      <x:c r="G11" s="14" t="str">
        <x:v>Validator Weights</x:v>
      </x:c>
      <x:c r="H11" s="14" t="str">
        <x:v>Every leave-one-out set must pass</x:v>
      </x:c>
    </x:row>
    <x:row r="12" ht="48" hidden="0" customHeight="1">
      <x:c r="A12" s="14" t="str">
        <x:v>Leader schedule</x:v>
      </x:c>
      <x:c r="B12" s="14" t="str">
        <x:v>Epoch-frozen SHA3-512 ring</x:v>
      </x:c>
      <x:c r="C12" s="14" t="str">
        <x:v>PoSy/LeaderSchedule/v3</x:v>
      </x:c>
      <x:c r="D12" s="16" t="str">
        <x:v>PROPOSED</x:v>
      </x:c>
      <x:c r="E12" s="14" t="str">
        <x:v>Finalized epoch seed</x:v>
      </x:c>
      <x:c r="F12" s="14" t="str">
        <x:v>Consensus Engineering</x:v>
      </x:c>
      <x:c r="G12" s="14" t="str">
        <x:v>Parameter Register</x:v>
      </x:c>
      <x:c r="H12" s="14" t="str">
        <x:v>No stake, score, clock, or health input</x:v>
      </x:c>
    </x:row>
    <x:row r="13" ht="48" hidden="0" customHeight="1">
      <x:c r="A13" s="14" t="str">
        <x:v>Leader lease</x:v>
      </x:c>
      <x:c r="B13" s="14" t="n">
        <x:v>10</x:v>
      </x:c>
      <x:c r="C13" s="14" t="str">
        <x:v>blocks</x:v>
      </x:c>
      <x:c r="D13" s="16" t="str">
        <x:v>PROPOSED</x:v>
      </x:c>
      <x:c r="E13" s="14" t="str">
        <x:v>Canonical parameter root</x:v>
      </x:c>
      <x:c r="F13" s="14" t="str">
        <x:v>Protocol Governance</x:v>
      </x:c>
      <x:c r="G13" s="14" t="str">
        <x:v>Parameter Register</x:v>
      </x:c>
      <x:c r="H13" s="14" t="str">
        <x:v>Final partial lease ends at epoch boundary</x:v>
      </x:c>
    </x:row>
    <x:row r="14" ht="36" hidden="0" customHeight="1">
      <x:c r="A14" s="14" t="str">
        <x:v>Takeover</x:v>
      </x:c>
      <x:c r="B14" s="14" t="str">
        <x:v>Sequential TC offset</x:v>
      </x:c>
      <x:c r="C14" s="14" t="str">
        <x:v>q(N) plus strict frozen weight</x:v>
      </x:c>
      <x:c r="D14" s="16" t="str">
        <x:v>PROPOSED</x:v>
      </x:c>
      <x:c r="E14" s="14" t="str">
        <x:v>Verified TC chain</x:v>
      </x:c>
      <x:c r="F14" s="14" t="str">
        <x:v>Consensus Engineering</x:v>
      </x:c>
      <x:c r="G14" s="14" t="str">
        <x:v>POSY-00E</x:v>
      </x:c>
      <x:c r="H14" s="14" t="str">
        <x:v>Current lease only</x:v>
      </x:c>
    </x:row>
    <x:row r="15" ht="48" hidden="0" customHeight="1">
      <x:c r="A15" s="14" t="str">
        <x:v>Consensus signature</x:v>
      </x:c>
      <x:c r="B15" s="14" t="str">
        <x:v>ML-DSA-65</x:v>
      </x:c>
      <x:c r="C15" s="14" t="str">
        <x:v>Aegis domain authorization</x:v>
      </x:c>
      <x:c r="D15" s="16" t="str">
        <x:v>PRESERVED</x:v>
      </x:c>
      <x:c r="E15" s="14" t="str">
        <x:v>Frozen epoch public keys</x:v>
      </x:c>
      <x:c r="F15" s="14" t="str">
        <x:v>Security Engineering</x:v>
      </x:c>
      <x:c r="G15" s="14" t="str">
        <x:v>Parameter Register</x:v>
      </x:c>
      <x:c r="H15" s="14" t="str">
        <x:v>No key material in this workbook</x:v>
      </x:c>
    </x:row>
    <x:row r="16" ht="60" hidden="0" customHeight="1">
      <x:c r="A16" s="14" t="str">
        <x:v>ETDAG boundary</x:v>
      </x:c>
      <x:c r="B16" s="14" t="str">
        <x:v>Governed and separated</x:v>
      </x:c>
      <x:c r="C16" s="14" t="str">
        <x:v>Parameter, fee, and membership-anchor commitments</x:v>
      </x:c>
      <x:c r="D16" s="16" t="str">
        <x:v>PROPOSED</x:v>
      </x:c>
      <x:c r="E16" s="14" t="str">
        <x:v>Verified V4 release approval</x:v>
      </x:c>
      <x:c r="F16" s="14" t="str">
        <x:v>ETDAG Engineering</x:v>
      </x:c>
      <x:c r="G16" s="14" t="str">
        <x:v>ETDAG governance inputs</x:v>
      </x:c>
      <x:c r="H16" s="14" t="str">
        <x:v>No ungoverned P3 fallback</x:v>
      </x:c>
    </x:row>
    <x:row r="17" ht="48" hidden="0" customHeight="1">
      <x:c r="A17" s="14" t="str">
        <x:v>Launch status</x:v>
      </x:c>
      <x:c r="B17" s="14" t="str">
        <x:v>BLOCKED</x:v>
      </x:c>
      <x:c r="C17" s="14" t="str">
        <x:f>'Activation Checklist'!B25</x:f>
        <x:v>BLOCKED</x:v>
      </x:c>
      <x:c r="D17" s="16" t="str">
        <x:v>OPEN</x:v>
      </x:c>
      <x:c r="E17" s="14" t="str">
        <x:v>Every checklist row PASS</x:v>
      </x:c>
      <x:c r="F17" s="14" t="str">
        <x:v>Release Engineering</x:v>
      </x:c>
      <x:c r="G17" s="14" t="str">
        <x:v>Activation Checklist</x:v>
      </x:c>
      <x:c r="H17" s="14" t="str">
        <x:v>Implementation alone cannot pass launch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1.600000381469727" hidden="0" customHeight="1">
      <x:c r="A1" s="27" t="str">
        <x:v>Initial Five-Validator Frozen Weight Preflight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28" t="str">
        <x:v>Initial epoch only: posy-validator-01..05 map to synergy-val2..6. Later epochs use a governed dynamic topology. Public identifiers and proposed weights only; never place keys, credentials, or host secrets here.</x:v>
      </x:c>
      <x:c r="B2" s="28"/>
      <x:c r="C2" s="28"/>
      <x:c r="D2" s="28"/>
      <x:c r="E2" s="28"/>
      <x:c r="F2" s="28"/>
      <x:c r="G2" s="28"/>
      <x:c r="H2" s="28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 ht="15" hidden="0" customHeight="1">
      <x:c r="A5" s="30" t="str">
        <x:v>Canonical Validator ID</x:v>
      </x:c>
      <x:c r="B5" s="30" t="str">
        <x:v>Active</x:v>
      </x:c>
      <x:c r="C5" s="30" t="str">
        <x:v>Frozen Weight Input</x:v>
      </x:c>
      <x:c r="D5" s="30" t="str">
        <x:v>Leave-One-Out Weight</x:v>
      </x:c>
      <x:c r="E5" s="30" t="str">
        <x:v>Weight Share</x:v>
      </x:c>
      <x:c r="F5" s="30" t="str">
        <x:v>&lt; 1/3 Individual</x:v>
      </x:c>
      <x:c r="G5" s="30" t="str">
        <x:v>Leave-One-Out &gt; 2/3</x:v>
      </x:c>
      <x:c r="H5" s="30" t="str">
        <x:v>Preflight</x:v>
      </x:c>
    </x:row>
    <x:row r="6" ht="15" hidden="0" customHeight="1">
      <x:c r="A6" s="14" t="str">
        <x:v>posy-validator-01</x:v>
      </x:c>
      <x:c r="B6" s="20" t="b">
        <x:v>1</x:v>
      </x:c>
      <x:c r="C6" s="15" t="n">
        <x:v>1</x:v>
      </x:c>
      <x:c r="D6" s="14" t="n">
        <x:f>$C$11-C6</x:f>
        <x:v>4</x:v>
      </x:c>
      <x:c r="E6" s="23" t="n">
        <x:f>C6/$C$11</x:f>
        <x:v>0.2</x:v>
      </x:c>
      <x:c r="F6" s="14" t="str">
        <x:f>IF(3*C6&lt;$C$11,"PASS","FAIL")</x:f>
        <x:v>PASS</x:v>
      </x:c>
      <x:c r="G6" s="14" t="str">
        <x:f>IF(3*D6&gt;2*$C$11,"PASS","FAIL")</x:f>
        <x:v>PASS</x:v>
      </x:c>
      <x:c r="H6" s="14" t="str">
        <x:f>IF(AND(B6,F6="PASS",G6="PASS"),"PASS","FAIL")</x:f>
        <x:v>PASS</x:v>
      </x:c>
    </x:row>
    <x:row r="7" ht="15" hidden="0" customHeight="1">
      <x:c r="A7" s="14" t="str">
        <x:v>posy-validator-02</x:v>
      </x:c>
      <x:c r="B7" s="20" t="b">
        <x:v>1</x:v>
      </x:c>
      <x:c r="C7" s="15" t="n">
        <x:v>1</x:v>
      </x:c>
      <x:c r="D7" s="14" t="n">
        <x:f>$C$11-C7</x:f>
        <x:v>4</x:v>
      </x:c>
      <x:c r="E7" s="23" t="n">
        <x:f>C7/$C$11</x:f>
        <x:v>0.2</x:v>
      </x:c>
      <x:c r="F7" s="14" t="str">
        <x:f>IF(3*C7&lt;$C$11,"PASS","FAIL")</x:f>
        <x:v>PASS</x:v>
      </x:c>
      <x:c r="G7" s="14" t="str">
        <x:f>IF(3*D7&gt;2*$C$11,"PASS","FAIL")</x:f>
        <x:v>PASS</x:v>
      </x:c>
      <x:c r="H7" s="14" t="str">
        <x:f>IF(AND(B7,F7="PASS",G7="PASS"),"PASS","FAIL")</x:f>
        <x:v>PASS</x:v>
      </x:c>
    </x:row>
    <x:row r="8" ht="15" hidden="0" customHeight="1">
      <x:c r="A8" s="14" t="str">
        <x:v>posy-validator-03</x:v>
      </x:c>
      <x:c r="B8" s="20" t="b">
        <x:v>1</x:v>
      </x:c>
      <x:c r="C8" s="15" t="n">
        <x:v>1</x:v>
      </x:c>
      <x:c r="D8" s="14" t="n">
        <x:f>$C$11-C8</x:f>
        <x:v>4</x:v>
      </x:c>
      <x:c r="E8" s="23" t="n">
        <x:f>C8/$C$11</x:f>
        <x:v>0.2</x:v>
      </x:c>
      <x:c r="F8" s="14" t="str">
        <x:f>IF(3*C8&lt;$C$11,"PASS","FAIL")</x:f>
        <x:v>PASS</x:v>
      </x:c>
      <x:c r="G8" s="14" t="str">
        <x:f>IF(3*D8&gt;2*$C$11,"PASS","FAIL")</x:f>
        <x:v>PASS</x:v>
      </x:c>
      <x:c r="H8" s="14" t="str">
        <x:f>IF(AND(B8,F8="PASS",G8="PASS"),"PASS","FAIL")</x:f>
        <x:v>PASS</x:v>
      </x:c>
    </x:row>
    <x:row r="9" ht="15" hidden="0" customHeight="1">
      <x:c r="A9" s="14" t="str">
        <x:v>posy-validator-04</x:v>
      </x:c>
      <x:c r="B9" s="20" t="b">
        <x:v>1</x:v>
      </x:c>
      <x:c r="C9" s="15" t="n">
        <x:v>1</x:v>
      </x:c>
      <x:c r="D9" s="14" t="n">
        <x:f>$C$11-C9</x:f>
        <x:v>4</x:v>
      </x:c>
      <x:c r="E9" s="23" t="n">
        <x:f>C9/$C$11</x:f>
        <x:v>0.2</x:v>
      </x:c>
      <x:c r="F9" s="14" t="str">
        <x:f>IF(3*C9&lt;$C$11,"PASS","FAIL")</x:f>
        <x:v>PASS</x:v>
      </x:c>
      <x:c r="G9" s="14" t="str">
        <x:f>IF(3*D9&gt;2*$C$11,"PASS","FAIL")</x:f>
        <x:v>PASS</x:v>
      </x:c>
      <x:c r="H9" s="14" t="str">
        <x:f>IF(AND(B9,F9="PASS",G9="PASS"),"PASS","FAIL")</x:f>
        <x:v>PASS</x:v>
      </x:c>
    </x:row>
    <x:row r="10" ht="15" hidden="0" customHeight="1">
      <x:c r="A10" s="14" t="str">
        <x:v>posy-validator-05</x:v>
      </x:c>
      <x:c r="B10" s="20" t="b">
        <x:v>1</x:v>
      </x:c>
      <x:c r="C10" s="15" t="n">
        <x:v>1</x:v>
      </x:c>
      <x:c r="D10" s="14" t="n">
        <x:f>$C$11-C10</x:f>
        <x:v>4</x:v>
      </x:c>
      <x:c r="E10" s="23" t="n">
        <x:f>C10/$C$11</x:f>
        <x:v>0.2</x:v>
      </x:c>
      <x:c r="F10" s="14" t="str">
        <x:f>IF(3*C10&lt;$C$11,"PASS","FAIL")</x:f>
        <x:v>PASS</x:v>
      </x:c>
      <x:c r="G10" s="14" t="str">
        <x:f>IF(3*D10&gt;2*$C$11,"PASS","FAIL")</x:f>
        <x:v>PASS</x:v>
      </x:c>
      <x:c r="H10" s="14" t="str">
        <x:f>IF(AND(B10,F10="PASS",G10="PASS"),"PASS","FAIL")</x:f>
        <x:v>PASS</x:v>
      </x:c>
    </x:row>
    <x:row r="11" ht="15" hidden="0" customHeight="1">
      <x:c r="A11" s="22" t="str">
        <x:v>Total Frozen Weight</x:v>
      </x:c>
      <x:c r="B11" s="22"/>
      <x:c r="C11" s="22" t="n">
        <x:f>SUM(C6:C10)</x:f>
        <x:v>5</x:v>
      </x:c>
      <x:c r="D11" s="14"/>
      <x:c r="E11" s="14"/>
      <x:c r="F11" s="14"/>
      <x:c r="G11" s="14"/>
      <x:c r="H11" s="14"/>
    </x:row>
    <x:row r="12" ht="15" hidden="0" customHeight="1">
      <x:c r="A12" s="22" t="str">
        <x:v>Initial Active Validator Count</x:v>
      </x:c>
      <x:c r="B12" s="22"/>
      <x:c r="C12" s="22" t="n">
        <x:f>COUNTA(A6:A10)</x:f>
        <x:v>5</x:v>
      </x:c>
      <x:c r="D12" s="14"/>
      <x:c r="E12" s="14"/>
      <x:c r="F12" s="14"/>
      <x:c r="G12" s="14"/>
      <x:c r="H12" s="14"/>
    </x:row>
    <x:row r="13" ht="15" hidden="0" customHeight="1">
      <x:c r="A13" s="22" t="str">
        <x:v>Initial Required Distinct Signers</x:v>
      </x:c>
      <x:c r="B13" s="22"/>
      <x:c r="C13" s="22" t="n">
        <x:f>INT((2*C12)/3)+1</x:f>
        <x:v>4</x:v>
      </x:c>
      <x:c r="D13" s="14"/>
      <x:c r="E13" s="14"/>
      <x:c r="F13" s="14"/>
      <x:c r="G13" s="14"/>
      <x:c r="H13" s="14"/>
    </x:row>
    <x:row r="14" ht="15" hidden="0" customHeight="1">
      <x:c r="A14" s="22" t="str">
        <x:v>Initial 4-of-5 Count Rule</x:v>
      </x:c>
      <x:c r="B14" s="22"/>
      <x:c r="C14" s="22" t="str">
        <x:f>IF(C13=4,"PASS","FAIL")</x:f>
        <x:v>PASS</x:v>
      </x:c>
      <x:c r="D14" s="14"/>
      <x:c r="E14" s="14"/>
      <x:c r="F14" s="14"/>
      <x:c r="G14" s="14"/>
      <x:c r="H14" s="14"/>
    </x:row>
    <x:row r="15" ht="15" hidden="0" customHeight="1">
      <x:c r="A15" s="22" t="str">
        <x:v>Single-Validator-Failure Liveness</x:v>
      </x:c>
      <x:c r="B15" s="22"/>
      <x:c r="C15" s="22" t="str">
        <x:f>IF(COUNTIF(H6:H10,"FAIL")=0,"MODEL PASS","FAIL")</x:f>
        <x:v>MODEL PASS</x:v>
      </x:c>
      <x:c r="D15" s="14"/>
      <x:c r="E15" s="14"/>
      <x:c r="F15" s="14"/>
      <x:c r="G15" s="14"/>
      <x:c r="H15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7" hidden="0" customWidth="1"/>
    <x:col min="4" max="4" width="27" hidden="0" customWidth="1"/>
    <x:col min="5" max="5" width="32" hidden="0" customWidth="1"/>
    <x:col min="6" max="6" width="20" hidden="0" customWidth="1"/>
    <x:col min="7" max="7" width="20" hidden="0" customWidth="1"/>
    <x:col min="8" max="8" width="31" hidden="0" customWidth="1"/>
  </x:cols>
  <x:sheetData>
    <x:row r="1" ht="21.600000381469727" hidden="0" customHeight="1">
      <x:c r="A1" s="27" t="str">
        <x:v>PoSy v3 Simplified Consensus Parameter Register</x:v>
      </x:c>
      <x:c r="B1" s="27"/>
      <x:c r="C1" s="27"/>
      <x:c r="D1" s="27"/>
      <x:c r="E1" s="27"/>
      <x:c r="F1" s="27"/>
      <x:c r="G1" s="27"/>
      <x:c r="H1" s="27"/>
    </x:row>
    <x:row r="2" ht="15" hidden="0" customHeight="1">
      <x:c r="A2" s="28" t="str">
        <x:v>Security-sensitive proposal register. Derived thresholds are formulas or verifier rules, never administrator overrides.</x:v>
      </x:c>
      <x:c r="B2" s="28"/>
      <x:c r="C2" s="28"/>
      <x:c r="D2" s="28"/>
      <x:c r="E2" s="28"/>
      <x:c r="F2" s="28"/>
      <x:c r="G2" s="28"/>
      <x:c r="H2" s="28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 ht="15" hidden="0" customHeight="1">
      <x:c r="A5" s="30" t="str">
        <x:v>ID</x:v>
      </x:c>
      <x:c r="B5" s="30" t="str">
        <x:v>Category</x:v>
      </x:c>
      <x:c r="C5" s="30" t="str">
        <x:v>Parameter</x:v>
      </x:c>
      <x:c r="D5" s="30" t="str">
        <x:v>Proposed Value</x:v>
      </x:c>
      <x:c r="E5" s="30" t="str">
        <x:v>Derivation / Constraint</x:v>
      </x:c>
      <x:c r="F5" s="30" t="str">
        <x:v>Governance Class</x:v>
      </x:c>
      <x:c r="G5" s="30" t="str">
        <x:v>Status</x:v>
      </x:c>
      <x:c r="H5" s="30" t="str">
        <x:v>Runtime / Spec Binding</x:v>
      </x:c>
    </x:row>
    <x:row r="6" ht="15" hidden="0" customHeight="1">
      <x:c r="A6" s="14" t="str">
        <x:v>PID-301</x:v>
      </x:c>
      <x:c r="B6" s="14" t="str">
        <x:v>Identity</x:v>
      </x:c>
      <x:c r="C6" s="14" t="str">
        <x:v>protocol_version</x:v>
      </x:c>
      <x:c r="D6" s="15" t="str">
        <x:v>posy/3.0</x:v>
      </x:c>
      <x:c r="E6" s="14" t="str">
        <x:v>Exact string</x:v>
      </x:c>
      <x:c r="F6" s="14" t="str">
        <x:v>Protocol</x:v>
      </x:c>
      <x:c r="G6" s="14" t="str">
        <x:v>PROPOSED</x:v>
      </x:c>
      <x:c r="H6" s="14" t="str">
        <x:v>schedule.rs</x:v>
      </x:c>
    </x:row>
    <x:row r="7" ht="15" hidden="0" customHeight="1">
      <x:c r="A7" s="14" t="str">
        <x:v>PID-302</x:v>
      </x:c>
      <x:c r="B7" s="14" t="str">
        <x:v>Identity</x:v>
      </x:c>
      <x:c r="C7" s="14" t="str">
        <x:v>schema_version</x:v>
      </x:c>
      <x:c r="D7" s="15" t="n">
        <x:v>4</x:v>
      </x:c>
      <x:c r="E7" s="14" t="str">
        <x:v>Exact integer</x:v>
      </x:c>
      <x:c r="F7" s="14" t="str">
        <x:v>Protocol</x:v>
      </x:c>
      <x:c r="G7" s="14" t="str">
        <x:v>PROPOSED</x:v>
      </x:c>
      <x:c r="H7" s="14" t="str">
        <x:v>posy_simplified_parameters.rs</x:v>
      </x:c>
    </x:row>
    <x:row r="8" ht="48" hidden="0" customHeight="1">
      <x:c r="A8" s="14" t="str">
        <x:v>PID-303</x:v>
      </x:c>
      <x:c r="B8" s="14" t="str">
        <x:v>Identity</x:v>
      </x:c>
      <x:c r="C8" s="14" t="str">
        <x:v>proposal_parameter_root</x:v>
      </x:c>
      <x:c r="D8" s="15" t="str">
        <x:v>91bbdd0101d5a6e9c6e72a5cc1160e85c074573f45b2a460d0b1487c9097b07504340768ff65365ccded5e5e96483ccb8cac00d025a457d8c1d4ee2fb547ba42</x:v>
      </x:c>
      <x:c r="E8" s="14" t="str">
        <x:v>SHA3-512 of exact canonical manifest bytes</x:v>
      </x:c>
      <x:c r="F8" s="14" t="str">
        <x:v>Protocol</x:v>
      </x:c>
      <x:c r="G8" s="14" t="str">
        <x:v>PROPOSED</x:v>
      </x:c>
      <x:c r="H8" s="14" t="str">
        <x:v>TESTNET_V3_POSY_SIMPLIFIED_PARAMETER_PROPOSAL_VERIFICATION.json</x:v>
      </x:c>
    </x:row>
    <x:row r="9" ht="15" hidden="0" customHeight="1">
      <x:c r="A9" s="14" t="str">
        <x:v>FLOW-301</x:v>
      </x:c>
      <x:c r="B9" s="14" t="str">
        <x:v>State machine</x:v>
      </x:c>
      <x:c r="C9" s="14" t="str">
        <x:v>healthy_path</x:v>
      </x:c>
      <x:c r="D9" s="15" t="str">
        <x:v>PROPOSAL,VOTE,QC</x:v>
      </x:c>
      <x:c r="E9" s="14" t="str">
        <x:v>One ordinary vote phase</x:v>
      </x:c>
      <x:c r="F9" s="14" t="str">
        <x:v>Protocol</x:v>
      </x:c>
      <x:c r="G9" s="14" t="str">
        <x:v>PROPOSED</x:v>
      </x:c>
      <x:c r="H9" s="14" t="str">
        <x:v>certificates.rs</x:v>
      </x:c>
    </x:row>
    <x:row r="10" ht="15" hidden="0" customHeight="1">
      <x:c r="A10" s="14" t="str">
        <x:v>FLOW-302</x:v>
      </x:c>
      <x:c r="B10" s="14" t="str">
        <x:v>State machine</x:v>
      </x:c>
      <x:c r="C10" s="14" t="str">
        <x:v>ordinary_vote_phases</x:v>
      </x:c>
      <x:c r="D10" s="15" t="n">
        <x:v>1</x:v>
      </x:c>
      <x:c r="E10" s="14" t="str">
        <x:v>Exact integer</x:v>
      </x:c>
      <x:c r="F10" s="14" t="str">
        <x:v>Protocol</x:v>
      </x:c>
      <x:c r="G10" s="14" t="str">
        <x:v>PROPOSED</x:v>
      </x:c>
      <x:c r="H10" s="14" t="str">
        <x:v>BlockVote</x:v>
      </x:c>
    </x:row>
    <x:row r="11" ht="15" hidden="0" customHeight="1">
      <x:c r="A11" s="14" t="str">
        <x:v>FLOW-303</x:v>
      </x:c>
      <x:c r="B11" s="14" t="str">
        <x:v>State machine</x:v>
      </x:c>
      <x:c r="C11" s="14" t="str">
        <x:v>normal_qc_types</x:v>
      </x:c>
      <x:c r="D11" s="15" t="n">
        <x:v>1</x:v>
      </x:c>
      <x:c r="E11" s="14" t="str">
        <x:v>Exact integer</x:v>
      </x:c>
      <x:c r="F11" s="14" t="str">
        <x:v>Protocol</x:v>
      </x:c>
      <x:c r="G11" s="14" t="str">
        <x:v>PROPOSED</x:v>
      </x:c>
      <x:c r="H11" s="14" t="str">
        <x:v>SimplifiedQuorumCertificate</x:v>
      </x:c>
    </x:row>
    <x:row r="12" ht="15" hidden="0" customHeight="1">
      <x:c r="A12" s="14" t="str">
        <x:v>FLOW-304</x:v>
      </x:c>
      <x:c r="B12" s="14" t="str">
        <x:v>State machine</x:v>
      </x:c>
      <x:c r="C12" s="14" t="str">
        <x:v>exceptional_certificate</x:v>
      </x:c>
      <x:c r="D12" s="15" t="str">
        <x:v>TC</x:v>
      </x:c>
      <x:c r="E12" s="14" t="str">
        <x:v>No replacement certificate</x:v>
      </x:c>
      <x:c r="F12" s="14" t="str">
        <x:v>Protocol</x:v>
      </x:c>
      <x:c r="G12" s="14" t="str">
        <x:v>PROPOSED</x:v>
      </x:c>
      <x:c r="H12" s="14" t="str">
        <x:v>SimplifiedTimeoutCertificate</x:v>
      </x:c>
    </x:row>
    <x:row r="13" ht="15" hidden="0" customHeight="1">
      <x:c r="A13" s="14" t="str">
        <x:v>FIN-301</x:v>
      </x:c>
      <x:c r="B13" s="14" t="str">
        <x:v>Finality</x:v>
      </x:c>
      <x:c r="C13" s="14" t="str">
        <x:v>chained_qc_commit_depth</x:v>
      </x:c>
      <x:c r="D13" s="15" t="n">
        <x:v>3</x:v>
      </x:c>
      <x:c r="E13" s="14" t="str">
        <x:v>Consecutive certified blocks</x:v>
      </x:c>
      <x:c r="F13" s="14" t="str">
        <x:v>Security-sensitive</x:v>
      </x:c>
      <x:c r="G13" s="14" t="str">
        <x:v>PROPOSED</x:v>
      </x:c>
      <x:c r="H13" s="14" t="str">
        <x:v>try_three_chain_commit</x:v>
      </x:c>
    </x:row>
    <x:row r="14" ht="15" hidden="0" customHeight="1">
      <x:c r="A14" s="14" t="str">
        <x:v>FIN-302</x:v>
      </x:c>
      <x:c r="B14" s="14" t="str">
        <x:v>Finality</x:v>
      </x:c>
      <x:c r="C14" s="14" t="str">
        <x:v>locked_qc</x:v>
      </x:c>
      <x:c r="D14" s="15" t="str">
        <x:v>durable</x:v>
      </x:c>
      <x:c r="E14" s="14" t="str">
        <x:v>Monotonic; TC cannot clear</x:v>
      </x:c>
      <x:c r="F14" s="14" t="str">
        <x:v>Security-sensitive</x:v>
      </x:c>
      <x:c r="G14" s="14" t="str">
        <x:v>PROPOSED</x:v>
      </x:c>
      <x:c r="H14" s="14" t="str">
        <x:v>SimplifiedSafetyState</x:v>
      </x:c>
    </x:row>
    <x:row r="15" ht="15" hidden="0" customHeight="1">
      <x:c r="A15" s="14" t="str">
        <x:v>LEAD-301</x:v>
      </x:c>
      <x:c r="B15" s="14" t="str">
        <x:v>Leader</x:v>
      </x:c>
      <x:c r="C15" s="14" t="str">
        <x:v>leader_schedule_domain</x:v>
      </x:c>
      <x:c r="D15" s="15" t="str">
        <x:v>PoSy/LeaderSchedule/v3</x:v>
      </x:c>
      <x:c r="E15" s="14" t="str">
        <x:v>Full SHA3-512 rank</x:v>
      </x:c>
      <x:c r="F15" s="14" t="str">
        <x:v>Protocol</x:v>
      </x:c>
      <x:c r="G15" s="14" t="str">
        <x:v>PROPOSED</x:v>
      </x:c>
      <x:c r="H15" s="14" t="str">
        <x:v>derive_epoch_leader_ring</x:v>
      </x:c>
    </x:row>
    <x:row r="16" ht="15" hidden="0" customHeight="1">
      <x:c r="A16" s="14" t="str">
        <x:v>LEAD-302</x:v>
      </x:c>
      <x:c r="B16" s="14" t="str">
        <x:v>Leader</x:v>
      </x:c>
      <x:c r="C16" s="14" t="str">
        <x:v>leader_schedule_weighted</x:v>
      </x:c>
      <x:c r="D16" s="24" t="b">
        <x:v>0</x:v>
      </x:c>
      <x:c r="E16" s="14" t="str">
        <x:v>No stake/score input</x:v>
      </x:c>
      <x:c r="F16" s="14" t="str">
        <x:v>Protocol</x:v>
      </x:c>
      <x:c r="G16" s="14" t="str">
        <x:v>PROPOSED</x:v>
      </x:c>
      <x:c r="H16" s="14" t="str">
        <x:v>schedule.rs</x:v>
      </x:c>
    </x:row>
    <x:row r="17" ht="15" hidden="0" customHeight="1">
      <x:c r="A17" s="14" t="str">
        <x:v>LEAD-303</x:v>
      </x:c>
      <x:c r="B17" s="14" t="str">
        <x:v>Leader</x:v>
      </x:c>
      <x:c r="C17" s="14" t="str">
        <x:v>leader_lease_blocks</x:v>
      </x:c>
      <x:c r="D17" s="15" t="n">
        <x:v>10</x:v>
      </x:c>
      <x:c r="E17" s="14" t="str">
        <x:v>Fixed governed parameter</x:v>
      </x:c>
      <x:c r="F17" s="14" t="str">
        <x:v>Security-sensitive</x:v>
      </x:c>
      <x:c r="G17" s="14" t="str">
        <x:v>PROPOSED</x:v>
      </x:c>
      <x:c r="H17" s="14" t="str">
        <x:v>schedule.rs</x:v>
      </x:c>
    </x:row>
    <x:row r="18" ht="15" hidden="0" customHeight="1">
      <x:c r="A18" s="14" t="str">
        <x:v>LEAD-304</x:v>
      </x:c>
      <x:c r="B18" s="14" t="str">
        <x:v>Leader</x:v>
      </x:c>
      <x:c r="C18" s="14" t="str">
        <x:v>takeover_offset</x:v>
      </x:c>
      <x:c r="D18" s="15" t="str">
        <x:v>sequential TC count</x:v>
      </x:c>
      <x:c r="E18" s="14" t="str">
        <x:v>Lease-local and verified</x:v>
      </x:c>
      <x:c r="F18" s="14" t="str">
        <x:v>Protocol</x:v>
      </x:c>
      <x:c r="G18" s="14" t="str">
        <x:v>PROPOSED</x:v>
      </x:c>
      <x:c r="H18" s="14" t="str">
        <x:v>state.rs</x:v>
      </x:c>
    </x:row>
    <x:row r="19" ht="15" hidden="0" customHeight="1">
      <x:c r="A19" s="14" t="str">
        <x:v>QC-301</x:v>
      </x:c>
      <x:c r="B19" s="14" t="str">
        <x:v>Quorum</x:v>
      </x:c>
      <x:c r="C19" s="14" t="str">
        <x:v>initial_epoch_validator_count</x:v>
      </x:c>
      <x:c r="D19" s="15" t="n">
        <x:v>5</x:v>
      </x:c>
      <x:c r="E19" s="14" t="str">
        <x:v>First activation only; later finalized epoch sets dynamic</x:v>
      </x:c>
      <x:c r="F19" s="14" t="str">
        <x:v>Protocol</x:v>
      </x:c>
      <x:c r="G19" s="14" t="str">
        <x:v>PROPOSED</x:v>
      </x:c>
      <x:c r="H19" s="14" t="str">
        <x:v>activation.rs / SimplifiedEpochContext</x:v>
      </x:c>
    </x:row>
    <x:row r="20" ht="15" hidden="0" customHeight="1">
      <x:c r="A20" s="14" t="str">
        <x:v>QC-302</x:v>
      </x:c>
      <x:c r="B20" s="14" t="str">
        <x:v>Quorum</x:v>
      </x:c>
      <x:c r="C20" s="14" t="str">
        <x:v>initial_required_distinct_signers</x:v>
      </x:c>
      <x:c r="D20" s="15" t="n">
        <x:f>INT((2*'Validator Weights'!C12)/3)+1</x:f>
        <x:v>4</x:v>
      </x:c>
      <x:c r="E20" s="14" t="str">
        <x:v>floor(2*N/3)+1; recomputed for every epoch</x:v>
      </x:c>
      <x:c r="F20" s="14" t="str">
        <x:v>Derived</x:v>
      </x:c>
      <x:c r="G20" s="14" t="str">
        <x:v>PROPOSED</x:v>
      </x:c>
      <x:c r="H20" s="14" t="str">
        <x:v>manifest loader / verify_strict_dual_quorum</x:v>
      </x:c>
    </x:row>
    <x:row r="21" ht="15" hidden="0" customHeight="1">
      <x:c r="A21" s="14" t="str">
        <x:v>QC-303</x:v>
      </x:c>
      <x:c r="B21" s="14" t="str">
        <x:v>Quorum</x:v>
      </x:c>
      <x:c r="C21" s="14" t="str">
        <x:v>count_predicate</x:v>
      </x:c>
      <x:c r="D21" s="15" t="str">
        <x:v>3*signed_count&gt;2*N</x:v>
      </x:c>
      <x:c r="E21" s="14" t="str">
        <x:v>Checked integer</x:v>
      </x:c>
      <x:c r="F21" s="14" t="str">
        <x:v>Protocol</x:v>
      </x:c>
      <x:c r="G21" s="14" t="str">
        <x:v>PRESERVED</x:v>
      </x:c>
      <x:c r="H21" s="14" t="str">
        <x:v>verify_strict_dual_quorum</x:v>
      </x:c>
    </x:row>
    <x:row r="22" ht="15" hidden="0" customHeight="1">
      <x:c r="A22" s="14" t="str">
        <x:v>QC-304</x:v>
      </x:c>
      <x:c r="B22" s="14" t="str">
        <x:v>Quorum</x:v>
      </x:c>
      <x:c r="C22" s="14" t="str">
        <x:v>weight_predicate</x:v>
      </x:c>
      <x:c r="D22" s="15" t="str">
        <x:v>3*signed_weight&gt;2*total</x:v>
      </x:c>
      <x:c r="E22" s="14" t="str">
        <x:v>Checked u128</x:v>
      </x:c>
      <x:c r="F22" s="14" t="str">
        <x:v>Protocol</x:v>
      </x:c>
      <x:c r="G22" s="14" t="str">
        <x:v>PRESERVED</x:v>
      </x:c>
      <x:c r="H22" s="14" t="str">
        <x:v>verify_strict_dual_quorum</x:v>
      </x:c>
    </x:row>
    <x:row r="23" ht="15" hidden="0" customHeight="1">
      <x:c r="A23" s="14" t="str">
        <x:v>QC-305</x:v>
      </x:c>
      <x:c r="B23" s="14" t="str">
        <x:v>Quorum</x:v>
      </x:c>
      <x:c r="C23" s="14" t="str">
        <x:v>allow_quorum_reduction</x:v>
      </x:c>
      <x:c r="D23" s="24" t="b">
        <x:v>0</x:v>
      </x:c>
      <x:c r="E23" s="14" t="str">
        <x:v>Fail closed</x:v>
      </x:c>
      <x:c r="F23" s="14" t="str">
        <x:v>Protocol</x:v>
      </x:c>
      <x:c r="G23" s="14" t="str">
        <x:v>PRESERVED</x:v>
      </x:c>
      <x:c r="H23" s="14" t="str">
        <x:v>manifest loader</x:v>
      </x:c>
    </x:row>
    <x:row r="24" ht="15" hidden="0" customHeight="1">
      <x:c r="A24" s="14" t="str">
        <x:v>CRYPTO-301</x:v>
      </x:c>
      <x:c r="B24" s="14" t="str">
        <x:v>Cryptography</x:v>
      </x:c>
      <x:c r="C24" s="14" t="str">
        <x:v>consensus_signature</x:v>
      </x:c>
      <x:c r="D24" s="15" t="str">
        <x:v>mldsa65</x:v>
      </x:c>
      <x:c r="E24" s="14" t="str">
        <x:v>Aegis native domain</x:v>
      </x:c>
      <x:c r="F24" s="14" t="str">
        <x:v>Security-sensitive</x:v>
      </x:c>
      <x:c r="G24" s="14" t="str">
        <x:v>PRESERVED</x:v>
      </x:c>
      <x:c r="H24" s="14" t="str">
        <x:v>aegis_pqvm.rs</x:v>
      </x:c>
    </x:row>
    <x:row r="25" ht="15" hidden="0" customHeight="1">
      <x:c r="A25" s="14" t="str">
        <x:v>SAFE-301</x:v>
      </x:c>
      <x:c r="B25" s="14" t="str">
        <x:v>Persistence</x:v>
      </x:c>
      <x:c r="C25" s="14" t="str">
        <x:v>signer_journal</x:v>
      </x:c>
      <x:c r="D25" s="15" t="str">
        <x:v>required</x:v>
      </x:c>
      <x:c r="E25" s="14" t="str">
        <x:v>fsync before signature</x:v>
      </x:c>
      <x:c r="F25" s="14" t="str">
        <x:v>Security-sensitive</x:v>
      </x:c>
      <x:c r="G25" s="14" t="str">
        <x:v>PRESERVED</x:v>
      </x:c>
      <x:c r="H25" s="14" t="str">
        <x:v>signing_authority.rs</x:v>
      </x:c>
    </x:row>
    <x:row r="26" ht="15" hidden="0" customHeight="1">
      <x:c r="A26" s="14" t="str">
        <x:v>SAFE-302</x:v>
      </x:c>
      <x:c r="B26" s="14" t="str">
        <x:v>Persistence</x:v>
      </x:c>
      <x:c r="C26" s="14" t="str">
        <x:v>safety_state</x:v>
      </x:c>
      <x:c r="D26" s="15" t="str">
        <x:v>required</x:v>
      </x:c>
      <x:c r="E26" s="14" t="str">
        <x:v>atomic rooted record</x:v>
      </x:c>
      <x:c r="F26" s="14" t="str">
        <x:v>Security-sensitive</x:v>
      </x:c>
      <x:c r="G26" s="14" t="str">
        <x:v>PROPOSED</x:v>
      </x:c>
      <x:c r="H26" s="14" t="str">
        <x:v>DurableSimplifiedPosyStore</x:v>
      </x:c>
    </x:row>
    <x:row r="27" ht="15" hidden="0" customHeight="1">
      <x:c r="A27" s="14" t="str">
        <x:v>SAFE-303</x:v>
      </x:c>
      <x:c r="B27" s="14" t="str">
        <x:v>Safety</x:v>
      </x:c>
      <x:c r="C27" s="14" t="str">
        <x:v>conflicting_valid_qc</x:v>
      </x:c>
      <x:c r="D27" s="15" t="str">
        <x:v>SafetyHalt</x:v>
      </x:c>
      <x:c r="E27" s="14" t="str">
        <x:v>Irreversible local halt</x:v>
      </x:c>
      <x:c r="F27" s="14" t="str">
        <x:v>Security-sensitive</x:v>
      </x:c>
      <x:c r="G27" s="14" t="str">
        <x:v>PRESERVED</x:v>
      </x:c>
      <x:c r="H27" s="14" t="str">
        <x:v>SafetyHaltKind</x:v>
      </x:c>
    </x:row>
    <x:row r="28" ht="15" hidden="0" customHeight="1">
      <x:c r="A28" s="14" t="str">
        <x:v>LIVE-301</x:v>
      </x:c>
      <x:c r="B28" s="14" t="str">
        <x:v>Liveness</x:v>
      </x:c>
      <x:c r="C28" s="14" t="str">
        <x:v>one_unavailable</x:v>
      </x:c>
      <x:c r="D28" s="15" t="str">
        <x:v>required</x:v>
      </x:c>
      <x:c r="E28" s="14" t="str">
        <x:v>Every leave-one-out weight set passes</x:v>
      </x:c>
      <x:c r="F28" s="14" t="str">
        <x:v>Protocol</x:v>
      </x:c>
      <x:c r="G28" s="14" t="str">
        <x:v>OPEN</x:v>
      </x:c>
      <x:c r="H28" s="14" t="str">
        <x:v>Validator Weights</x:v>
      </x:c>
    </x:row>
    <x:row r="29" ht="15" hidden="0" customHeight="1">
      <x:c r="A29" s="14" t="str">
        <x:v>LIVE-302</x:v>
      </x:c>
      <x:c r="B29" s="14" t="str">
        <x:v>Liveness</x:v>
      </x:c>
      <x:c r="C29" s="14" t="str">
        <x:v>two_unavailable_initial_epoch</x:v>
      </x:c>
      <x:c r="D29" s="15" t="str">
        <x:v>fail_closed</x:v>
      </x:c>
      <x:c r="E29" s="14" t="str">
        <x:v>Initial 3-of-5 count fails closed</x:v>
      </x:c>
      <x:c r="F29" s="14" t="str">
        <x:v>Protocol</x:v>
      </x:c>
      <x:c r="G29" s="14" t="str">
        <x:v>PROPOSED</x:v>
      </x:c>
      <x:c r="H29" s="14" t="str">
        <x:v>five-node state-machine and production-driver harnesses</x:v>
      </x:c>
    </x:row>
    <x:row r="30" ht="15" hidden="0" customHeight="1">
      <x:c r="A30" s="14" t="str">
        <x:v>ETDAG-301</x:v>
      </x:c>
      <x:c r="B30" s="14" t="str">
        <x:v>ETDAG</x:v>
      </x:c>
      <x:c r="C30" s="14" t="str">
        <x:v>finality_separation</x:v>
      </x:c>
      <x:c r="D30" s="24" t="b">
        <x:v>1</x:v>
      </x:c>
      <x:c r="E30" s="14" t="str">
        <x:v>No ETDAG certificate finalizes blocks</x:v>
      </x:c>
      <x:c r="F30" s="14" t="str">
        <x:v>Protocol</x:v>
      </x:c>
      <x:c r="G30" s="14" t="str">
        <x:v>PRESERVED</x:v>
      </x:c>
      <x:c r="H30" s="14" t="str">
        <x:v>POSY-00D</x:v>
      </x:c>
    </x:row>
    <x:row r="31" ht="15" hidden="0" customHeight="1">
      <x:c r="A31" s="14" t="str">
        <x:v>ETDAG-302</x:v>
      </x:c>
      <x:c r="B31" s="14" t="str">
        <x:v>ETDAG</x:v>
      </x:c>
      <x:c r="C31" s="14" t="str">
        <x:v>protected_execution_binding</x:v>
      </x:c>
      <x:c r="D31" s="24" t="b">
        <x:v>1</x:v>
      </x:c>
      <x:c r="E31" s="14" t="str">
        <x:v>Exact root in proposal, vote, and QC subject</x:v>
      </x:c>
      <x:c r="F31" s="14" t="str">
        <x:v>Protocol</x:v>
      </x:c>
      <x:c r="G31" s="14" t="str">
        <x:v>PRESERVED</x:v>
      </x:c>
      <x:c r="H31" s="14" t="str">
        <x:v>SimplifiedProposal / BlockVote / QC</x:v>
      </x:c>
    </x:row>
    <x:row r="32" ht="15" hidden="0" customHeight="1">
      <x:c r="A32" s="14" t="str">
        <x:v>ACT-301</x:v>
      </x:c>
      <x:c r="B32" s="14" t="str">
        <x:v>Activation</x:v>
      </x:c>
      <x:c r="C32" s="14" t="str">
        <x:v>activation_epoch</x:v>
      </x:c>
      <x:c r="D32" s="15" t="str">
        <x:v>null while proposed; 0 when FINALIZED</x:v>
      </x:c>
      <x:c r="E32" s="14" t="str">
        <x:v>Fresh Genesis epoch is fixed and never migrated</x:v>
      </x:c>
      <x:c r="F32" s="14" t="str">
        <x:v>Protocol</x:v>
      </x:c>
      <x:c r="G32" s="14" t="str">
        <x:v>OPEN</x:v>
      </x:c>
      <x:c r="H32" s="14" t="str">
        <x:v>manifest schema / Genesis activation loader</x:v>
      </x:c>
    </x:row>
    <x:row r="33" ht="15" hidden="0" customHeight="1">
      <x:c r="A33" s="14" t="str">
        <x:v>ACT-302</x:v>
      </x:c>
      <x:c r="B33" s="14" t="str">
        <x:v>Activation</x:v>
      </x:c>
      <x:c r="C33" s="14" t="str">
        <x:v>activation_height</x:v>
      </x:c>
      <x:c r="D33" s="15" t="str">
        <x:v>null while proposed; 1 when FINALIZED</x:v>
      </x:c>
      <x:c r="E33" s="14" t="str">
        <x:v>First consensus block follows block-zero Genesis</x:v>
      </x:c>
      <x:c r="F33" s="14" t="str">
        <x:v>Protocol</x:v>
      </x:c>
      <x:c r="G33" s="14" t="str">
        <x:v>OPEN</x:v>
      </x:c>
      <x:c r="H33" s="14" t="str">
        <x:v>manifest schema / Genesis activation loader</x:v>
      </x:c>
    </x:row>
    <x:row r="34" ht="28" customHeight="1">
      <x:c r="A34" s="33" t="str">
        <x:v>ID-304</x:v>
      </x:c>
      <x:c r="B34" s="33" t="str">
        <x:v>Identity</x:v>
      </x:c>
      <x:c r="C34" s="33" t="str">
        <x:v>chain_id</x:v>
      </x:c>
      <x:c r="D34" s="44" t="n">
        <x:v>1266</x:v>
      </x:c>
      <x:c r="E34" s="33" t="str">
        <x:v>Exact integer</x:v>
      </x:c>
      <x:c r="F34" s="33" t="str">
        <x:v>Protocol</x:v>
      </x:c>
      <x:c r="G34" s="33" t="str">
        <x:v>PROPOSED</x:v>
      </x:c>
      <x:c r="H34" s="33" t="str">
        <x:v>parameter schema / genesis.rs</x:v>
      </x:c>
    </x:row>
    <x:row r="35" ht="28" customHeight="1">
      <x:c r="A35" s="33" t="str">
        <x:v>ID-305</x:v>
      </x:c>
      <x:c r="B35" s="33" t="str">
        <x:v>Identity</x:v>
      </x:c>
      <x:c r="C35" s="33" t="str">
        <x:v>network_id</x:v>
      </x:c>
      <x:c r="D35" s="44" t="str">
        <x:v>testnet</x:v>
      </x:c>
      <x:c r="E35" s="33" t="str">
        <x:v>Canonical technical environment ID</x:v>
      </x:c>
      <x:c r="F35" s="33" t="str">
        <x:v>Protocol</x:v>
      </x:c>
      <x:c r="G35" s="33" t="str">
        <x:v>PROPOSED</x:v>
      </x:c>
      <x:c r="H35" s="33" t="str">
        <x:v>parameter schema / genesis.rs</x:v>
      </x:c>
    </x:row>
    <x:row r="36" ht="28" customHeight="1">
      <x:c r="A36" s="33" t="str">
        <x:v>ID-306</x:v>
      </x:c>
      <x:c r="B36" s="33" t="str">
        <x:v>Identity</x:v>
      </x:c>
      <x:c r="C36" s="33" t="str">
        <x:v>release_id</x:v>
      </x:c>
      <x:c r="D36" s="44" t="str">
        <x:v>testnet-v3</x:v>
      </x:c>
      <x:c r="E36" s="33" t="str">
        <x:v>Human release identifier</x:v>
      </x:c>
      <x:c r="F36" s="33" t="str">
        <x:v>Protocol</x:v>
      </x:c>
      <x:c r="G36" s="33" t="str">
        <x:v>PROPOSED</x:v>
      </x:c>
      <x:c r="H36" s="33" t="str">
        <x:v>parameter schema / genesis.rs</x:v>
      </x:c>
    </x:row>
    <x:row r="37" ht="28" customHeight="1">
      <x:c r="A37" s="33" t="str">
        <x:v>GEN-301</x:v>
      </x:c>
      <x:c r="B37" s="33" t="str">
        <x:v>Genesis</x:v>
      </x:c>
      <x:c r="C37" s="33" t="str">
        <x:v>activation_boundary</x:v>
      </x:c>
      <x:c r="D37" s="44" t="str">
        <x:v>fresh_genesis_block_zero</x:v>
      </x:c>
      <x:c r="E37" s="33" t="str">
        <x:v>No transition, replay, or retired state input</x:v>
      </x:c>
      <x:c r="F37" s="33" t="str">
        <x:v>Security-sensitive</x:v>
      </x:c>
      <x:c r="G37" s="33" t="str">
        <x:v>PROPOSED</x:v>
      </x:c>
      <x:c r="H37" s="33" t="str">
        <x:v>genesis.rs / prepare-fresh-posy-v3-genesis</x:v>
      </x:c>
    </x:row>
    <x:row r="38" ht="28" customHeight="1">
      <x:c r="A38" s="33" t="str">
        <x:v>GEN-302</x:v>
      </x:c>
      <x:c r="B38" s="33" t="str">
        <x:v>Finality</x:v>
      </x:c>
      <x:c r="C38" s="33" t="str">
        <x:v>genesis_finality_parent</x:v>
      </x:c>
      <x:c r="D38" s="44" t="str">
        <x:v>typed non-QC parent</x:v>
      </x:c>
      <x:c r="E38" s="33" t="str">
        <x:v>Block 1 names Genesis; block 2+ require QC parents</x:v>
      </x:c>
      <x:c r="F38" s="33" t="str">
        <x:v>Security-sensitive</x:v>
      </x:c>
      <x:c r="G38" s="33" t="str">
        <x:v>PROPOSED</x:v>
      </x:c>
      <x:c r="H38" s="33" t="str">
        <x:v>SimplifiedFinalityParent</x:v>
      </x:c>
    </x:row>
    <x:row r="39" ht="28" customHeight="1">
      <x:c r="A39" s="33" t="str">
        <x:v>ETDAG-303</x:v>
      </x:c>
      <x:c r="B39" s="33" t="str">
        <x:v>ETDAG</x:v>
      </x:c>
      <x:c r="C39" s="33" t="str">
        <x:v>initial_etdag_activation</x:v>
      </x:c>
      <x:c r="D39" s="44" t="str">
        <x:v>governed_genesis_binding_required</x:v>
      </x:c>
      <x:c r="E39" s="33" t="str">
        <x:v>Fail closed without governed parameter and fee artifacts</x:v>
      </x:c>
      <x:c r="F39" s="33" t="str">
        <x:v>Security-sensitive</x:v>
      </x:c>
      <x:c r="G39" s="33" t="str">
        <x:v>PROPOSED</x:v>
      </x:c>
      <x:c r="H39" s="33" t="str">
        <x:v>etdag_governance.rs / role_runtime.rs</x:v>
      </x:c>
    </x:row>
    <x:row r="40" ht="28" customHeight="1">
      <x:c r="A40" s="33" t="str">
        <x:v>ETDAG-304</x:v>
      </x:c>
      <x:c r="B40" s="33" t="str">
        <x:v>ETDAG</x:v>
      </x:c>
      <x:c r="C40" s="33" t="str">
        <x:v>release_commitments</x:v>
      </x:c>
      <x:c r="D40" s="44" t="str">
        <x:v>parameter root + fee root + membership anchor</x:v>
      </x:c>
      <x:c r="E40" s="33" t="str">
        <x:v>All three nonzero SHA3-512 commitments bound by V4 approval</x:v>
      </x:c>
      <x:c r="F40" s="33" t="str">
        <x:v>Security-sensitive</x:v>
      </x:c>
      <x:c r="G40" s="33" t="str">
        <x:v>OPEN</x:v>
      </x:c>
      <x:c r="H40" s="33" t="str">
        <x:v>testnet_v3_release_approval.rs</x:v>
      </x:c>
    </x:row>
    <x:row r="41" ht="28" customHeight="1">
      <x:c r="A41" s="33" t="str">
        <x:v>GOV-301</x:v>
      </x:c>
      <x:c r="B41" s="33" t="str">
        <x:v>Governance</x:v>
      </x:c>
      <x:c r="C41" s="33" t="str">
        <x:v>release_approval_schema</x:v>
      </x:c>
      <x:c r="D41" s="44" t="n">
        <x:v>4</x:v>
      </x:c>
      <x:c r="E41" s="33" t="str">
        <x:v>V4 is the approval schema, not a chain version</x:v>
      </x:c>
      <x:c r="F41" s="33" t="str">
        <x:v>Security-sensitive</x:v>
      </x:c>
      <x:c r="G41" s="33" t="str">
        <x:v>OPEN</x:v>
      </x:c>
      <x:c r="H41" s="33" t="str">
        <x:v>Core verifier / Address Engine signer</x:v>
      </x:c>
    </x:row>
    <x:row r="42" ht="28" customHeight="1">
      <x:c r="A42" s="33" t="str">
        <x:v>ONB-301</x:v>
      </x:c>
      <x:c r="B42" s="33" t="str">
        <x:v>Membership</x:v>
      </x:c>
      <x:c r="C42" s="33" t="str">
        <x:v>validator_set_growth</x:v>
      </x:c>
      <x:c r="D42" s="44" t="str">
        <x:v>dynamic finalized epoch transitions</x:v>
      </x:c>
      <x:c r="E42" s="33" t="str">
        <x:v>Initial five is not a membership ceiling</x:v>
      </x:c>
      <x:c r="F42" s="33" t="str">
        <x:v>Protocol</x:v>
      </x:c>
      <x:c r="G42" s="33" t="str">
        <x:v>PROPOSED</x:v>
      </x:c>
      <x:c r="H42" s="33" t="str">
        <x:v>transition.rs / activation.rs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42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1.600000381469727" hidden="0" customHeight="1">
      <x:c r="A1" s="27" t="str">
        <x:v>PoSy v3 Activation Checklist</x:v>
      </x:c>
      <x:c r="B1" s="27"/>
      <x:c r="C1" s="27"/>
      <x:c r="D1" s="27"/>
      <x:c r="E1" s="27"/>
      <x:c r="F1" s="27"/>
    </x:row>
    <x:row r="2" ht="15" hidden="0" customHeight="1">
      <x:c r="A2" s="28" t="str">
        <x:v>Every gate is independently evidenced. This proposal intentionally leaves deployment, governance, and launch gates open.</x:v>
      </x:c>
      <x:c r="B2" s="28"/>
      <x:c r="C2" s="28"/>
      <x:c r="D2" s="28"/>
      <x:c r="E2" s="28"/>
      <x:c r="F2" s="28"/>
    </x:row>
    <x:row r="3">
      <x:c r="A3" s="29"/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 ht="15" hidden="0" customHeight="1">
      <x:c r="A5" s="30" t="str">
        <x:v>Gate</x:v>
      </x:c>
      <x:c r="B5" s="30" t="str">
        <x:v>Status</x:v>
      </x:c>
      <x:c r="C5" s="30" t="str">
        <x:v>Required Evidence</x:v>
      </x:c>
      <x:c r="D5" s="30" t="str">
        <x:v>Evidence Location</x:v>
      </x:c>
      <x:c r="E5" s="30" t="str">
        <x:v>Owner</x:v>
      </x:c>
      <x:c r="F5" s="30" t="str">
        <x:v>Fail-Closed Response</x:v>
      </x:c>
    </x:row>
    <x:row r="6" ht="15" hidden="0" customHeight="1">
      <x:c r="A6" s="14" t="str">
        <x:v>Specification amendment approved</x:v>
      </x:c>
      <x:c r="B6" s="16" t="str">
        <x:v>OPEN</x:v>
      </x:c>
      <x:c r="C6" s="14" t="str">
        <x:v>Ratified POSY-00E and updated coordinated set</x:v>
      </x:c>
      <x:c r="D6" s="14" t="str">
        <x:v>docs/posy-v3</x:v>
      </x:c>
      <x:c r="E6" s="14" t="str">
        <x:v>Protocol Governance</x:v>
      </x:c>
      <x:c r="F6" s="14" t="str">
        <x:v>Do not activate</x:v>
      </x:c>
    </x:row>
    <x:row r="7" ht="15" hidden="0" customHeight="1">
      <x:c r="A7" s="14" t="str">
        <x:v>Canonical manifest finalized</x:v>
      </x:c>
      <x:c r="B7" s="16" t="str">
        <x:v>OPEN</x:v>
      </x:c>
      <x:c r="C7" s="14" t="str">
        <x:v>Approval ID plus exact root</x:v>
      </x:c>
      <x:c r="D7" s="14" t="str">
        <x:v>launch/*PARAMETER*</x:v>
      </x:c>
      <x:c r="E7" s="14" t="str">
        <x:v>Protocol Governance</x:v>
      </x:c>
      <x:c r="F7" s="14" t="str">
        <x:v>Proposal loader refuses activation</x:v>
      </x:c>
    </x:row>
    <x:row r="8" ht="15" hidden="0" customHeight="1">
      <x:c r="A8" s="14" t="str">
        <x:v>Fresh Genesis epoch/height fixed</x:v>
      </x:c>
      <x:c r="B8" s="16" t="str">
        <x:v>SOURCE PASS</x:v>
      </x:c>
      <x:c r="C8" s="14" t="str">
        <x:v>Schema requires epoch 0 and first consensus height 1 when finalized</x:v>
      </x:c>
      <x:c r="D8" s="14" t="str">
        <x:v>parameter proposal/schema</x:v>
      </x:c>
      <x:c r="E8" s="14" t="str">
        <x:v>Protocol Governance</x:v>
      </x:c>
      <x:c r="F8" s="14" t="str">
        <x:v>Refuse chain start</x:v>
      </x:c>
    </x:row>
    <x:row r="9" ht="15" hidden="0" customHeight="1">
      <x:c r="A9" s="14" t="str">
        <x:v>Initial five identities approved</x:v>
      </x:c>
      <x:c r="B9" s="16" t="str">
        <x:v>OPEN</x:v>
      </x:c>
      <x:c r="C9" s="14" t="str">
        <x:v>Public identity/key topology only</x:v>
      </x:c>
      <x:c r="D9" s="14" t="str">
        <x:v>approved external records</x:v>
      </x:c>
      <x:c r="E9" s="14" t="str">
        <x:v>Validator Operations</x:v>
      </x:c>
      <x:c r="F9" s="14" t="str">
        <x:v>Do not generate replacements</x:v>
      </x:c>
    </x:row>
    <x:row r="10" ht="15" hidden="0" customHeight="1">
      <x:c r="A10" s="14" t="str">
        <x:v>Initial five ML-DSA-65 keys ready</x:v>
      </x:c>
      <x:c r="B10" s="16" t="str">
        <x:v>OPEN</x:v>
      </x:c>
      <x:c r="C10" s="14" t="str">
        <x:v>Lifecycle and key-root verification</x:v>
      </x:c>
      <x:c r="D10" s="14" t="str">
        <x:v>preflight evidence</x:v>
      </x:c>
      <x:c r="E10" s="14" t="str">
        <x:v>Security Engineering</x:v>
      </x:c>
      <x:c r="F10" s="14" t="str">
        <x:v>Do not sign</x:v>
      </x:c>
    </x:row>
    <x:row r="11" ht="15" hidden="0" customHeight="1">
      <x:c r="A11" s="14" t="str">
        <x:v>Frozen weight root agreed</x:v>
      </x:c>
      <x:c r="B11" s="16" t="str">
        <x:v>OPEN</x:v>
      </x:c>
      <x:c r="C11" s="14" t="str">
        <x:v>All initial-set roots equal</x:v>
      </x:c>
      <x:c r="D11" s="14" t="str">
        <x:v>preflight evidence</x:v>
      </x:c>
      <x:c r="E11" s="14" t="str">
        <x:v>Protocol Governance</x:v>
      </x:c>
      <x:c r="F11" s="14" t="str">
        <x:v>Do not activate</x:v>
      </x:c>
    </x:row>
    <x:row r="12" ht="15" hidden="0" customHeight="1">
      <x:c r="A12" s="14" t="str">
        <x:v>Single-failure weight liveness</x:v>
      </x:c>
      <x:c r="B12" s="16" t="str">
        <x:f>'Validator Weights'!C15</x:f>
        <x:v>MODEL PASS</x:v>
      </x:c>
      <x:c r="C12" s="14" t="str">
        <x:v>Every leave-one-out set strict &gt;2/3</x:v>
      </x:c>
      <x:c r="D12" s="14" t="str">
        <x:v>Validator Weights</x:v>
      </x:c>
      <x:c r="E12" s="14" t="str">
        <x:v>Protocol Governance</x:v>
      </x:c>
      <x:c r="F12" s="14" t="str">
        <x:v>Reject topology</x:v>
      </x:c>
    </x:row>
    <x:row r="13" ht="15" hidden="0" customHeight="1">
      <x:c r="A13" s="14" t="str">
        <x:v>Leader ring/root agreed</x:v>
      </x:c>
      <x:c r="B13" s="16" t="str">
        <x:v>OPEN</x:v>
      </x:c>
      <x:c r="C13" s="14" t="str">
        <x:v>Every initial validator derives the identical ring</x:v>
      </x:c>
      <x:c r="D13" s="14" t="str">
        <x:v>preflight evidence</x:v>
      </x:c>
      <x:c r="E13" s="14" t="str">
        <x:v>Consensus Engineering</x:v>
      </x:c>
      <x:c r="F13" s="14" t="str">
        <x:v>Reject transition</x:v>
      </x:c>
    </x:row>
    <x:row r="14" ht="15" hidden="0" customHeight="1">
      <x:c r="A14" s="14" t="str">
        <x:v>Binary/release hash agreed</x:v>
      </x:c>
      <x:c r="B14" s="16" t="str">
        <x:v>OPEN</x:v>
      </x:c>
      <x:c r="C14" s="14" t="str">
        <x:v>Signed reproducible release</x:v>
      </x:c>
      <x:c r="D14" s="14" t="str">
        <x:v>release evidence</x:v>
      </x:c>
      <x:c r="E14" s="14" t="str">
        <x:v>Release Engineering</x:v>
      </x:c>
      <x:c r="F14" s="14" t="str">
        <x:v>Do not install</x:v>
      </x:c>
    </x:row>
    <x:row r="15" ht="15" hidden="0" customHeight="1">
      <x:c r="A15" s="14" t="str">
        <x:v>Unit and property tests</x:v>
      </x:c>
      <x:c r="B15" s="16" t="str">
        <x:v>PARTIAL</x:v>
      </x:c>
      <x:c r="C15" s="14" t="str">
        <x:v>Green targeted and full suites</x:v>
      </x:c>
      <x:c r="D15" s="14" t="str">
        <x:v>test report</x:v>
      </x:c>
      <x:c r="E15" s="14" t="str">
        <x:v>QA</x:v>
      </x:c>
      <x:c r="F15" s="14" t="str">
        <x:v>Do not activate</x:v>
      </x:c>
    </x:row>
    <x:row r="16" ht="24" hidden="0" customHeight="1">
      <x:c r="A16" s="14" t="str">
        <x:v>Five-node state-machine and production-driver harnesses</x:v>
      </x:c>
      <x:c r="B16" s="16" t="str">
        <x:v>PARTIAL</x:v>
      </x:c>
      <x:c r="C16" s="14" t="str">
        <x:v>Both distinct harnesses pass with production state/signing APIs</x:v>
      </x:c>
      <x:c r="D16" s="14" t="str">
        <x:v>runtime harness evidence</x:v>
      </x:c>
      <x:c r="E16" s="14" t="str">
        <x:v>QA</x:v>
      </x:c>
      <x:c r="F16" s="14" t="str">
        <x:v>Do not claim integration completion</x:v>
      </x:c>
    </x:row>
    <x:row r="17" ht="15" hidden="0" customHeight="1">
      <x:c r="A17" s="14" t="str">
        <x:v>State-sync/restart rehearsal</x:v>
      </x:c>
      <x:c r="B17" s="16" t="str">
        <x:v>PARTIAL</x:v>
      </x:c>
      <x:c r="C17" s="14" t="str">
        <x:v>Verified restart and peer TC reconstruction</x:v>
      </x:c>
      <x:c r="D17" s="14" t="str">
        <x:v>test report</x:v>
      </x:c>
      <x:c r="E17" s="14" t="str">
        <x:v>SRE</x:v>
      </x:c>
      <x:c r="F17" s="14" t="str">
        <x:v>Do not sign</x:v>
      </x:c>
    </x:row>
    <x:row r="18" ht="15" hidden="0" customHeight="1">
      <x:c r="A18" s="14" t="str">
        <x:v>Performance qualification</x:v>
      </x:c>
      <x:c r="B18" s="16" t="str">
        <x:v>OPEN</x:v>
      </x:c>
      <x:c r="C18" s="14" t="str">
        <x:v>10,000-block p50/p95/p99 evidence</x:v>
      </x:c>
      <x:c r="D18" s="14" t="str">
        <x:v>benchmark report</x:v>
      </x:c>
      <x:c r="E18" s="14" t="str">
        <x:v>Performance</x:v>
      </x:c>
      <x:c r="F18" s="14" t="str">
        <x:v>Do not claim SLO</x:v>
      </x:c>
    </x:row>
    <x:row r="19" ht="15" hidden="0" customHeight="1">
      <x:c r="A19" s="14" t="str">
        <x:v>Fresh Genesis and dynamic-onboarding rehearsal</x:v>
      </x:c>
      <x:c r="B19" s="16" t="str">
        <x:v>OPEN</x:v>
      </x:c>
      <x:c r="C19" s="14" t="str">
        <x:v>Initial five start from block zero; later validators join only through finalized epoch transitions</x:v>
      </x:c>
      <x:c r="D19" s="14" t="str">
        <x:v>fresh-chain launch runbook</x:v>
      </x:c>
      <x:c r="E19" s="14" t="str">
        <x:v>Validator Operations</x:v>
      </x:c>
      <x:c r="F19" s="14" t="str">
        <x:v>Abort before chain start</x:v>
      </x:c>
    </x:row>
    <x:row r="20" ht="15" hidden="0" customHeight="1">
      <x:c r="A20" s="14" t="str">
        <x:v>Rollback/fail-closed rehearsal</x:v>
      </x:c>
      <x:c r="B20" s="16" t="str">
        <x:v>OPEN</x:v>
      </x:c>
      <x:c r="C20" s="14" t="str">
        <x:v>Exact pre/post-activation criteria</x:v>
      </x:c>
      <x:c r="D20" s="14" t="str">
        <x:v>migration runbook</x:v>
      </x:c>
      <x:c r="E20" s="14" t="str">
        <x:v>Incident Response</x:v>
      </x:c>
      <x:c r="F20" s="14" t="str">
        <x:v>SafetyHalt; no local rollback</x:v>
      </x:c>
    </x:row>
    <x:row r="21" ht="15" hidden="0" customHeight="1">
      <x:c r="A21" s="14" t="str">
        <x:v>Launch approval</x:v>
      </x:c>
      <x:c r="B21" s="16" t="str">
        <x:v>OPEN</x:v>
      </x:c>
      <x:c r="C21" s="14" t="str">
        <x:v>All existing launch controls pass</x:v>
      </x:c>
      <x:c r="D21" s="14" t="str">
        <x:v>launch-readiness.json</x:v>
      </x:c>
      <x:c r="E21" s="14" t="str">
        <x:v>Release Authority</x:v>
      </x:c>
      <x:c r="F21" s="14" t="str">
        <x:v>Launch remains blocked</x:v>
      </x:c>
    </x:row>
    <x:row r="22" ht="32" hidden="0" customHeight="1">
      <x:c r="A22" s="45" t="str">
        <x:v>Governed ETDAG roots and membership anchor</x:v>
      </x:c>
      <x:c r="B22" s="48" t="str">
        <x:v>OPEN</x:v>
      </x:c>
      <x:c r="C22" s="46" t="str">
        <x:v>Nonzero canonical parameter root, fee root, and Genesis-bound anchor</x:v>
      </x:c>
      <x:c r="D22" s="46" t="str">
        <x:v>ETDAG governance inputs / final candidate</x:v>
      </x:c>
      <x:c r="E22" s="46" t="str">
        <x:v>ETDAG Engineering</x:v>
      </x:c>
      <x:c r="F22" s="46" t="str">
        <x:v>Refuse release approval</x:v>
      </x:c>
    </x:row>
    <x:row r="23" ht="32" customHeight="1">
      <x:c r="A23" s="47" t="str">
        <x:v>Frozen-governance V4 release approval</x:v>
      </x:c>
      <x:c r="B23" s="44" t="str">
        <x:v>OPEN</x:v>
      </x:c>
      <x:c r="C23" s="47" t="str">
        <x:v>Verified ML-DSA-87 signature over the exact final candidate and all governed roots</x:v>
      </x:c>
      <x:c r="D23" s="47" t="str">
        <x:v>signed release approval</x:v>
      </x:c>
      <x:c r="E23" s="47" t="str">
        <x:v>Release Authority</x:v>
      </x:c>
      <x:c r="F23" s="47" t="str">
        <x:v>Do not activate or publish Wallet trust</x:v>
      </x:c>
    </x:row>
    <x:row r="24" ht="32" customHeight="1">
      <x:c r="A24" s="47" t="str">
        <x:v>Wallet public trust derivation</x:v>
      </x:c>
      <x:c r="B24" s="44" t="str">
        <x:v>OPEN</x:v>
      </x:c>
      <x:c r="C24" s="47" t="str">
        <x:v>Registry values derived from the verified release and Wallet gate passes</x:v>
      </x:c>
      <x:c r="D24" s="47" t="str">
        <x:v>Wallet release evidence</x:v>
      </x:c>
      <x:c r="E24" s="47" t="str">
        <x:v>Wallet Release</x:v>
      </x:c>
      <x:c r="F24" s="47" t="str">
        <x:v>Do not package or publish</x:v>
      </x:c>
    </x:row>
    <x:row r="25" ht="22" customHeight="1">
      <x:c r="A25" s="49" t="str">
        <x:v>Overall Activation Status</x:v>
      </x:c>
      <x:c r="B25" s="49" t="str">
        <x:f>IF(COUNTIF(B6:B24,"*PASS")=ROWS(B6:B24),"PASS","BLOCKED")</x:f>
        <x:v>BLOCKED</x:v>
      </x:c>
      <x:c r="C25"/>
      <x:c r="D25"/>
      <x:c r="E25"/>
      <x:c r="F25"/>
    </x:row>
  </x:sheetData>
  <x:mergeCells>
    <x:mergeCell ref="A1:F1"/>
    <x:mergeCell ref="A2:F2"/>
  </x:mergeCells>
  <x:pageMargins left="0.7" right="0.7" top="0.75" bottom="0.75" header="0.3" footer="0.3"/>
</x:worksheet>
</file>